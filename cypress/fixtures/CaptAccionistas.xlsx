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<sst xmlns="http://schemas.openxmlformats.org/spreadsheetml/2006/main" count="69" uniqueCount="53">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</sst>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5.75"/>
    <col customWidth="1" min="7" max="7" width="16.75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tr">
        <f>IFERROR(__xludf.DUMMYFUNCTION("IMPORTRANGE(""1_xriSLIwwVjPl8SPQz6HpPENpfWiztH_Avw6PdiYhY8"", ""'0 Cliente'!B2"")  &amp; ""001"""),"0101 1997 33102001")</f>
        <v>0101 1997 33102001</v>
      </c>
      <c r="B2" s="8"/>
      <c r="C2" s="8"/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tr">
        <f>IFERROR(__xludf.DUMMYFUNCTION("IMPORTRANGE(""1_xriSLIwwVjPl8SPQz6HpPENpfWiztH_Avw6PdiYhY8"", ""'0 Cliente'!B2"")  &amp; ""003"""),"0101 1997 33102003")</f>
        <v>0101 1997 33102003</v>
      </c>
      <c r="B3" s="10"/>
      <c r="C3" s="10"/>
      <c r="D3" s="9"/>
      <c r="E3" s="9"/>
      <c r="F3" s="9"/>
      <c r="G3" s="9"/>
      <c r="H3" s="11" t="s">
        <v>13</v>
      </c>
      <c r="I3" s="11" t="s">
        <v>14</v>
      </c>
      <c r="J3" s="11" t="s">
        <v>15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0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5" t="s">
        <v>18</v>
      </c>
    </row>
    <row r="2">
      <c r="A2" s="7" t="s">
        <v>19</v>
      </c>
      <c r="B2" s="7" t="s">
        <v>20</v>
      </c>
      <c r="C2" s="9"/>
    </row>
    <row r="3">
      <c r="A3" s="7" t="s">
        <v>21</v>
      </c>
      <c r="B3" s="7" t="s">
        <v>22</v>
      </c>
      <c r="C3" s="11" t="s">
        <v>23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24</v>
      </c>
      <c r="B1" s="4" t="s">
        <v>18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</row>
    <row r="2">
      <c r="A2" s="8" t="s">
        <v>38</v>
      </c>
      <c r="B2" s="8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2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1" t="str">
        <f>IFERROR(__xludf.DUMMYFUNCTION("RIGHT(SUBSTITUTE(IMPORTRANGE(""1_xriSLIwwVjPl8SPQz6HpPENpfWiztH_Avw6PdiYhY8"", ""'0 Cliente'!B2""), "" "", """"), 9)
"),"199733102")</f>
        <v>199733102</v>
      </c>
      <c r="O3" s="11" t="s">
        <v>14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6.75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</row>
    <row r="2">
      <c r="A2" s="8"/>
      <c r="B2" s="8" t="str">
        <f>IFERROR(__xludf.DUMMYFUNCTION("SUBSTITUTE(IMPORTRANGE(""1_xriSLIwwVjPl8SPQz6HpPENpfWiztH_Avw6PdiYhY8"", ""'0 Cliente'!B2""), "" "", """")
&amp; ""02"""),"010119973310202")</f>
        <v>010119973310202</v>
      </c>
      <c r="C2" s="8" t="s">
        <v>13</v>
      </c>
      <c r="D2" s="8" t="s">
        <v>47</v>
      </c>
      <c r="E2" s="8" t="s">
        <v>48</v>
      </c>
      <c r="F2" s="8" t="s">
        <v>49</v>
      </c>
      <c r="G2" s="8" t="s">
        <v>50</v>
      </c>
      <c r="H2" s="8"/>
      <c r="I2" s="8" t="s">
        <v>51</v>
      </c>
      <c r="J2" s="8" t="s">
        <v>52</v>
      </c>
      <c r="K2" s="8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